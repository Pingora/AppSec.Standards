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04"/>
  <workbookPr/>
  <mc:AlternateContent xmlns:mc="http://schemas.openxmlformats.org/markup-compatibility/2006">
    <mc:Choice Requires="x15">
      <x15ac:absPath xmlns:x15ac="http://schemas.microsoft.com/office/spreadsheetml/2010/11/ac" url="https://bayview0.sharepoint.com/sites/ApplicationSecurity/Shared Documents/Projects/2024 Q3 - Controls Documents/"/>
    </mc:Choice>
  </mc:AlternateContent>
  <xr:revisionPtr revIDLastSave="71" documentId="11_5F995379310AC3911E0E0E2DB1A8D9A9FBA6458B" xr6:coauthVersionLast="47" xr6:coauthVersionMax="47" xr10:uidLastSave="{8206CFF1-D475-46FC-99C5-9C74612290DE}"/>
  <bookViews>
    <workbookView xWindow="38280" yWindow="-690" windowWidth="29040" windowHeight="15840" xr2:uid="{00000000-000D-0000-FFFF-FFFF00000000}"/>
  </bookViews>
  <sheets>
    <sheet name="CS4.1 sample data" sheetId="1" r:id="rId1"/>
    <sheet name="constan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F4" i="1" s="1"/>
  <c r="C5" i="1"/>
  <c r="F5" i="1" s="1"/>
  <c r="C6" i="1"/>
  <c r="F6" i="1" s="1"/>
  <c r="C7" i="1"/>
  <c r="F7" i="1" s="1"/>
  <c r="C8" i="1"/>
  <c r="F8" i="1" s="1"/>
  <c r="C9" i="1"/>
  <c r="F9" i="1" s="1"/>
  <c r="C3" i="1"/>
  <c r="F3" i="1" s="1"/>
  <c r="C2" i="1"/>
  <c r="F2" i="1" s="1"/>
  <c r="B4" i="1"/>
  <c r="E4" i="1" s="1"/>
  <c r="B5" i="1"/>
  <c r="E5" i="1" s="1"/>
  <c r="B6" i="1"/>
  <c r="E6" i="1" s="1"/>
  <c r="B7" i="1"/>
  <c r="E7" i="1" s="1"/>
  <c r="B8" i="1"/>
  <c r="E8" i="1" s="1"/>
  <c r="B9" i="1"/>
  <c r="E9" i="1" s="1"/>
  <c r="B3" i="1"/>
  <c r="E3" i="1" s="1"/>
  <c r="B2" i="1"/>
  <c r="E2" i="1" s="1"/>
</calcChain>
</file>

<file path=xl/sharedStrings.xml><?xml version="1.0" encoding="utf-8"?>
<sst xmlns="http://schemas.openxmlformats.org/spreadsheetml/2006/main" count="15" uniqueCount="15">
  <si>
    <t>Software Name</t>
  </si>
  <si>
    <t>Critical Vulnerabilities</t>
  </si>
  <si>
    <t>High Vulnerabilities</t>
  </si>
  <si>
    <t>Lines of code</t>
  </si>
  <si>
    <t>Critical/x LoC</t>
  </si>
  <si>
    <t>High/x LoC</t>
  </si>
  <si>
    <t>Development Portal</t>
  </si>
  <si>
    <t>Loan Library</t>
  </si>
  <si>
    <t>Lending Portal</t>
  </si>
  <si>
    <t>Rapid Cash</t>
  </si>
  <si>
    <t>Flowvy</t>
  </si>
  <si>
    <t>Pocket Bucks</t>
  </si>
  <si>
    <t>Lendex</t>
  </si>
  <si>
    <t>Quicky Loans</t>
  </si>
  <si>
    <t>LoC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</si>
</sst>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22" sqref="B22"/>
    </sheetView>
  </sheetViews>
  <sheetFormatPr defaultRowHeight="14.45"/>
  <cols>
    <col min="1" max="1" width="18.5703125" bestFit="1" customWidth="1"/>
    <col min="2" max="2" width="20.42578125" bestFit="1" customWidth="1"/>
    <col min="3" max="3" width="18.28515625" bestFit="1" customWidth="1"/>
    <col min="4" max="5" width="12.28515625" bestFit="1" customWidth="1"/>
    <col min="6" max="6" width="9.71093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f ca="1">RANDBETWEEN(0,10)</f>
        <v>8</v>
      </c>
      <c r="C2">
        <f ca="1">RANDBETWEEN(0,10)</f>
        <v>7</v>
      </c>
      <c r="D2" s="2">
        <v>10000</v>
      </c>
      <c r="E2">
        <f ca="1">$B2/($D2/constants!$A$2)</f>
        <v>8</v>
      </c>
      <c r="F2">
        <f ca="1">$C2/($D2/constants!$A$2)</f>
        <v>7</v>
      </c>
    </row>
    <row r="3" spans="1:6">
      <c r="A3" t="s">
        <v>7</v>
      </c>
      <c r="B3">
        <f ca="1">RANDBETWEEN(0,10)</f>
        <v>5</v>
      </c>
      <c r="C3">
        <f ca="1">RANDBETWEEN(0,10)</f>
        <v>5</v>
      </c>
      <c r="D3" s="2">
        <v>15000</v>
      </c>
      <c r="E3">
        <f ca="1">$B3/($D3/constants!$A$2)</f>
        <v>3.3333333333333335</v>
      </c>
      <c r="F3">
        <f ca="1">$C3/($D3/constants!$A$2)</f>
        <v>3.3333333333333335</v>
      </c>
    </row>
    <row r="4" spans="1:6">
      <c r="A4" t="s">
        <v>8</v>
      </c>
      <c r="B4">
        <f t="shared" ref="B4:C9" ca="1" si="0">RANDBETWEEN(0,10)</f>
        <v>2</v>
      </c>
      <c r="C4">
        <f t="shared" ca="1" si="0"/>
        <v>1</v>
      </c>
      <c r="D4" s="2">
        <v>30000</v>
      </c>
      <c r="E4">
        <f ca="1">$B4/($D4/constants!$A$2)</f>
        <v>0.66666666666666663</v>
      </c>
      <c r="F4">
        <f ca="1">$C4/($D4/constants!$A$2)</f>
        <v>0.33333333333333331</v>
      </c>
    </row>
    <row r="5" spans="1:6">
      <c r="A5" t="s">
        <v>9</v>
      </c>
      <c r="B5">
        <f t="shared" ca="1" si="0"/>
        <v>1</v>
      </c>
      <c r="C5">
        <f t="shared" ca="1" si="0"/>
        <v>4</v>
      </c>
      <c r="D5" s="2">
        <v>20000</v>
      </c>
      <c r="E5">
        <f ca="1">$B5/($D5/constants!$A$2)</f>
        <v>0.5</v>
      </c>
      <c r="F5">
        <f ca="1">$C5/($D5/constants!$A$2)</f>
        <v>2</v>
      </c>
    </row>
    <row r="6" spans="1:6">
      <c r="A6" t="s">
        <v>10</v>
      </c>
      <c r="B6">
        <f t="shared" ca="1" si="0"/>
        <v>3</v>
      </c>
      <c r="C6">
        <f t="shared" ca="1" si="0"/>
        <v>9</v>
      </c>
      <c r="D6" s="2">
        <v>100000</v>
      </c>
      <c r="E6">
        <f ca="1">$B6/($D6/constants!$A$2)</f>
        <v>0.3</v>
      </c>
      <c r="F6">
        <f ca="1">$C6/($D6/constants!$A$2)</f>
        <v>0.9</v>
      </c>
    </row>
    <row r="7" spans="1:6">
      <c r="A7" t="s">
        <v>11</v>
      </c>
      <c r="B7">
        <f t="shared" ca="1" si="0"/>
        <v>3</v>
      </c>
      <c r="C7">
        <f t="shared" ca="1" si="0"/>
        <v>1</v>
      </c>
      <c r="D7" s="2">
        <v>200000</v>
      </c>
      <c r="E7">
        <f ca="1">$B7/($D7/constants!$A$2)</f>
        <v>0.15</v>
      </c>
      <c r="F7">
        <f ca="1">$C7/($D7/constants!$A$2)</f>
        <v>0.05</v>
      </c>
    </row>
    <row r="8" spans="1:6">
      <c r="A8" t="s">
        <v>12</v>
      </c>
      <c r="B8">
        <f t="shared" ca="1" si="0"/>
        <v>10</v>
      </c>
      <c r="C8">
        <f t="shared" ca="1" si="0"/>
        <v>4</v>
      </c>
      <c r="D8" s="2">
        <v>300000</v>
      </c>
      <c r="E8">
        <f ca="1">$B8/($D8/constants!$A$2)</f>
        <v>0.33333333333333331</v>
      </c>
      <c r="F8">
        <f ca="1">$C8/($D8/constants!$A$2)</f>
        <v>0.13333333333333333</v>
      </c>
    </row>
    <row r="9" spans="1:6">
      <c r="A9" t="s">
        <v>13</v>
      </c>
      <c r="B9">
        <f t="shared" ca="1" si="0"/>
        <v>0</v>
      </c>
      <c r="C9">
        <f t="shared" ca="1" si="0"/>
        <v>8</v>
      </c>
      <c r="D9" s="2">
        <v>500000</v>
      </c>
      <c r="E9">
        <f ca="1">$B9/($D9/constants!$A$2)</f>
        <v>0</v>
      </c>
      <c r="F9">
        <f ca="1">$C9/($D9/constants!$A$2)</f>
        <v>0.16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679E5-B9DA-4FB4-8227-D9CB2251B063}">
  <dimension ref="A1:A2"/>
  <sheetViews>
    <sheetView workbookViewId="0"/>
  </sheetViews>
  <sheetFormatPr defaultRowHeight="14.45"/>
  <sheetData>
    <row r="1" spans="1:1">
      <c r="A1" s="1" t="s">
        <v>14</v>
      </c>
    </row>
    <row r="2" spans="1:1">
      <c r="A2">
        <v>10000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8D792CF04CA54485B181F999321BCE" ma:contentTypeVersion="16" ma:contentTypeDescription="Create a new document." ma:contentTypeScope="" ma:versionID="9ac8c3b5907b40fbd630024cb4ba69a0">
  <xsd:schema xmlns:xsd="http://www.w3.org/2001/XMLSchema" xmlns:xs="http://www.w3.org/2001/XMLSchema" xmlns:p="http://schemas.microsoft.com/office/2006/metadata/properties" xmlns:ns1="http://schemas.microsoft.com/sharepoint/v3" xmlns:ns2="6ca9bcb0-4efa-4f67-b784-6083b04a2a80" xmlns:ns3="22ea2f7b-fe6f-4cea-94a2-f8529ccdbcba" targetNamespace="http://schemas.microsoft.com/office/2006/metadata/properties" ma:root="true" ma:fieldsID="d8bdfdeb07682d2965917f44fb2e5030" ns1:_="" ns2:_="" ns3:_="">
    <xsd:import namespace="http://schemas.microsoft.com/sharepoint/v3"/>
    <xsd:import namespace="6ca9bcb0-4efa-4f67-b784-6083b04a2a80"/>
    <xsd:import namespace="22ea2f7b-fe6f-4cea-94a2-f8529ccdbc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9bcb0-4efa-4f67-b784-6083b04a2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25646c8-beb0-4214-bb72-bcc2d6571c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ea2f7b-fe6f-4cea-94a2-f8529ccdbcb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ca8da8-81b5-4e1f-b490-e5530d975492}" ma:internalName="TaxCatchAll" ma:showField="CatchAllData" ma:web="22ea2f7b-fe6f-4cea-94a2-f8529ccdbc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ca9bcb0-4efa-4f67-b784-6083b04a2a80">
      <Terms xmlns="http://schemas.microsoft.com/office/infopath/2007/PartnerControls"/>
    </lcf76f155ced4ddcb4097134ff3c332f>
    <TaxCatchAll xmlns="22ea2f7b-fe6f-4cea-94a2-f8529ccdbcba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A0F4846-809D-4205-B1DB-2ECBB935A8C7}"/>
</file>

<file path=customXml/itemProps2.xml><?xml version="1.0" encoding="utf-8"?>
<ds:datastoreItem xmlns:ds="http://schemas.openxmlformats.org/officeDocument/2006/customXml" ds:itemID="{6F7116F7-7CAA-4950-BAD3-D551BE82D770}"/>
</file>

<file path=customXml/itemProps3.xml><?xml version="1.0" encoding="utf-8"?>
<ds:datastoreItem xmlns:ds="http://schemas.openxmlformats.org/officeDocument/2006/customXml" ds:itemID="{1FF8B2C3-7147-4C2C-8854-3C82F61E3B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Henry Post</dc:creator>
  <cp:keywords/>
  <dc:description/>
  <cp:lastModifiedBy>Jessica Goldstein</cp:lastModifiedBy>
  <cp:revision/>
  <dcterms:created xsi:type="dcterms:W3CDTF">2015-06-05T18:17:20Z</dcterms:created>
  <dcterms:modified xsi:type="dcterms:W3CDTF">2024-08-08T20:50:34Z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0x010100CB8D792CF04CA54485B181F999321BCE</vt:lpwstr>
  </property>
</Properties>
</file>